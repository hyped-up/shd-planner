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<sst xmlns="http://schemas.openxmlformats.org/spreadsheetml/2006/main" count="6" uniqueCount="6">
  <si>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Stat</t>
  </si>
  <si>
    <t>Base+Stat</t>
  </si>
  <si>
    <t>actual increase per step</t>
  </si>
  <si>
    <t>actual increase from zero</t>
  </si>
  <si>
    <t>diff increase minus stat</t>
  </si>
  <si>
    <t>% actual increase VS stat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</si>
</sst>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#0.0000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2" numFmtId="0" xfId="0" applyFont="1"/>
    <xf borderId="1" fillId="2" fontId="1" numFmtId="0" xfId="0" applyBorder="1" applyFont="1"/>
    <xf borderId="1" fillId="2" fontId="1" numFmtId="164" xfId="0" applyBorder="1" applyFont="1" applyNumberFormat="1"/>
    <xf borderId="1" fillId="2" fontId="1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increase from zero vs. Stat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Sheet1!$A$2:$A$42</c:f>
            </c:strRef>
          </c:cat>
          <c:val>
            <c:numRef>
              <c:f>Sheet1!$D$2:$D$42</c:f>
              <c:numCache/>
            </c:numRef>
          </c:val>
          <c:smooth val="0"/>
        </c:ser>
        <c:ser>
          <c:idx val="1"/>
          <c:order val="1"/>
          <c:tx>
            <c:strRef>
              <c:f>Sheet1!$A$1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Sheet1!$A$2:$A$42</c:f>
            </c:strRef>
          </c:cat>
          <c:val>
            <c:numRef>
              <c:f>Sheet1!$A$2:$A$42</c:f>
              <c:numCache/>
            </c:numRef>
          </c:val>
          <c:smooth val="0"/>
        </c:ser>
        <c:axId val="1728030936"/>
        <c:axId val="1285224776"/>
      </c:lineChart>
      <c:catAx>
        <c:axId val="1728030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5224776"/>
      </c:catAx>
      <c:valAx>
        <c:axId val="12852247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 increase from zero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030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1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20.38"/>
    <col customWidth="1" min="5" max="5" width="18.88"/>
    <col customWidth="1" min="6" max="6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0.0</v>
      </c>
      <c r="B2" s="3">
        <f t="shared" ref="B2:B42" si="1">A2+100</f>
        <v>100</v>
      </c>
      <c r="C2" s="4">
        <f>(B2/B2-1)*100</f>
        <v>0</v>
      </c>
      <c r="D2" s="4">
        <f>SUM(C2)</f>
        <v>0</v>
      </c>
      <c r="E2" s="4">
        <f t="shared" ref="E2:E42" si="2">D2-A2</f>
        <v>0</v>
      </c>
      <c r="F2" s="5">
        <f t="shared" ref="F2:F42" si="3">C2/5</f>
        <v>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5.0</v>
      </c>
      <c r="B3" s="3">
        <f t="shared" si="1"/>
        <v>105</v>
      </c>
      <c r="C3" s="4">
        <f t="shared" ref="C3:C42" si="4">(B3/B2-1)*100</f>
        <v>5</v>
      </c>
      <c r="D3" s="4">
        <f>SUM(C2:C3)</f>
        <v>5</v>
      </c>
      <c r="E3" s="4">
        <f t="shared" si="2"/>
        <v>0</v>
      </c>
      <c r="F3" s="5">
        <f t="shared" si="3"/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10.0</v>
      </c>
      <c r="B4" s="3">
        <f t="shared" si="1"/>
        <v>110</v>
      </c>
      <c r="C4" s="4">
        <f t="shared" si="4"/>
        <v>4.761904762</v>
      </c>
      <c r="D4" s="4">
        <f>SUM(C2:C4)</f>
        <v>9.761904762</v>
      </c>
      <c r="E4" s="4">
        <f t="shared" si="2"/>
        <v>-0.2380952381</v>
      </c>
      <c r="F4" s="5">
        <f t="shared" si="3"/>
        <v>0.9523809524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15.0</v>
      </c>
      <c r="B5" s="3">
        <f t="shared" si="1"/>
        <v>115</v>
      </c>
      <c r="C5" s="4">
        <f t="shared" si="4"/>
        <v>4.545454545</v>
      </c>
      <c r="D5" s="4">
        <f>SUM(C2:C5)</f>
        <v>14.30735931</v>
      </c>
      <c r="E5" s="4">
        <f t="shared" si="2"/>
        <v>-0.6926406926</v>
      </c>
      <c r="F5" s="5">
        <f t="shared" si="3"/>
        <v>0.9090909091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20.0</v>
      </c>
      <c r="B6" s="3">
        <f t="shared" si="1"/>
        <v>120</v>
      </c>
      <c r="C6" s="4">
        <f t="shared" si="4"/>
        <v>4.347826087</v>
      </c>
      <c r="D6" s="4">
        <f>SUM(C2:C6)</f>
        <v>18.65518539</v>
      </c>
      <c r="E6" s="4">
        <f t="shared" si="2"/>
        <v>-1.344814606</v>
      </c>
      <c r="F6" s="5">
        <f t="shared" si="3"/>
        <v>0.8695652174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25.0</v>
      </c>
      <c r="B7" s="3">
        <f t="shared" si="1"/>
        <v>125</v>
      </c>
      <c r="C7" s="4">
        <f t="shared" si="4"/>
        <v>4.166666667</v>
      </c>
      <c r="D7" s="4">
        <f>SUM(C2:C7)</f>
        <v>22.82185206</v>
      </c>
      <c r="E7" s="4">
        <f t="shared" si="2"/>
        <v>-2.178147939</v>
      </c>
      <c r="F7" s="5">
        <f t="shared" si="3"/>
        <v>0.8333333333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30.0</v>
      </c>
      <c r="B8" s="3">
        <f t="shared" si="1"/>
        <v>130</v>
      </c>
      <c r="C8" s="4">
        <f t="shared" si="4"/>
        <v>4</v>
      </c>
      <c r="D8" s="4">
        <f>SUM(C2:C8)</f>
        <v>26.82185206</v>
      </c>
      <c r="E8" s="4">
        <f t="shared" si="2"/>
        <v>-3.178147939</v>
      </c>
      <c r="F8" s="5">
        <f t="shared" si="3"/>
        <v>0.8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35.0</v>
      </c>
      <c r="B9" s="3">
        <f t="shared" si="1"/>
        <v>135</v>
      </c>
      <c r="C9" s="4">
        <f t="shared" si="4"/>
        <v>3.846153846</v>
      </c>
      <c r="D9" s="4">
        <f>SUM(C2:C9)</f>
        <v>30.66800591</v>
      </c>
      <c r="E9" s="4">
        <f t="shared" si="2"/>
        <v>-4.331994093</v>
      </c>
      <c r="F9" s="5">
        <f t="shared" si="3"/>
        <v>0.7692307692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40.0</v>
      </c>
      <c r="B10" s="3">
        <f t="shared" si="1"/>
        <v>140</v>
      </c>
      <c r="C10" s="4">
        <f t="shared" si="4"/>
        <v>3.703703704</v>
      </c>
      <c r="D10" s="4">
        <f>SUM(C2:C10)</f>
        <v>34.37170961</v>
      </c>
      <c r="E10" s="4">
        <f t="shared" si="2"/>
        <v>-5.628290389</v>
      </c>
      <c r="F10" s="5">
        <f t="shared" si="3"/>
        <v>0.7407407407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45.0</v>
      </c>
      <c r="B11" s="3">
        <f t="shared" si="1"/>
        <v>145</v>
      </c>
      <c r="C11" s="4">
        <f t="shared" si="4"/>
        <v>3.571428571</v>
      </c>
      <c r="D11" s="4">
        <f>SUM(C2:C11)</f>
        <v>37.94313818</v>
      </c>
      <c r="E11" s="4">
        <f t="shared" si="2"/>
        <v>-7.056861818</v>
      </c>
      <c r="F11" s="5">
        <f t="shared" si="3"/>
        <v>0.7142857143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50.0</v>
      </c>
      <c r="B12" s="3">
        <f t="shared" si="1"/>
        <v>150</v>
      </c>
      <c r="C12" s="4">
        <f t="shared" si="4"/>
        <v>3.448275862</v>
      </c>
      <c r="D12" s="4">
        <f>SUM(C2:C12)</f>
        <v>41.39141404</v>
      </c>
      <c r="E12" s="4">
        <f t="shared" si="2"/>
        <v>-8.608585956</v>
      </c>
      <c r="F12" s="5">
        <f t="shared" si="3"/>
        <v>0.6896551724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55.0</v>
      </c>
      <c r="B13" s="3">
        <f t="shared" si="1"/>
        <v>155</v>
      </c>
      <c r="C13" s="4">
        <f t="shared" si="4"/>
        <v>3.333333333</v>
      </c>
      <c r="D13" s="4">
        <f>SUM(C2:C13)</f>
        <v>44.72474738</v>
      </c>
      <c r="E13" s="4">
        <f t="shared" si="2"/>
        <v>-10.27525262</v>
      </c>
      <c r="F13" s="5">
        <f t="shared" si="3"/>
        <v>0.6666666667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60.0</v>
      </c>
      <c r="B14" s="3">
        <f t="shared" si="1"/>
        <v>160</v>
      </c>
      <c r="C14" s="4">
        <f t="shared" si="4"/>
        <v>3.225806452</v>
      </c>
      <c r="D14" s="4">
        <f>SUM(C2:C14)</f>
        <v>47.95055383</v>
      </c>
      <c r="E14" s="4">
        <f t="shared" si="2"/>
        <v>-12.04944617</v>
      </c>
      <c r="F14" s="5">
        <f t="shared" si="3"/>
        <v>0.6451612903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65.0</v>
      </c>
      <c r="B15" s="3">
        <f t="shared" si="1"/>
        <v>165</v>
      </c>
      <c r="C15" s="4">
        <f t="shared" si="4"/>
        <v>3.125</v>
      </c>
      <c r="D15" s="4">
        <f>SUM(C2:C15)</f>
        <v>51.07555383</v>
      </c>
      <c r="E15" s="4">
        <f t="shared" si="2"/>
        <v>-13.92444617</v>
      </c>
      <c r="F15" s="5">
        <f t="shared" si="3"/>
        <v>0.625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70.0</v>
      </c>
      <c r="B16" s="3">
        <f t="shared" si="1"/>
        <v>170</v>
      </c>
      <c r="C16" s="4">
        <f t="shared" si="4"/>
        <v>3.03030303</v>
      </c>
      <c r="D16" s="4">
        <f>SUM(C2:C16)</f>
        <v>54.10585686</v>
      </c>
      <c r="E16" s="4">
        <f t="shared" si="2"/>
        <v>-15.89414314</v>
      </c>
      <c r="F16" s="5">
        <f t="shared" si="3"/>
        <v>0.6060606061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75.0</v>
      </c>
      <c r="B17" s="3">
        <f t="shared" si="1"/>
        <v>175</v>
      </c>
      <c r="C17" s="4">
        <f t="shared" si="4"/>
        <v>2.941176471</v>
      </c>
      <c r="D17" s="4">
        <f>SUM(C2:C17)</f>
        <v>57.04703333</v>
      </c>
      <c r="E17" s="4">
        <f t="shared" si="2"/>
        <v>-17.95296667</v>
      </c>
      <c r="F17" s="5">
        <f t="shared" si="3"/>
        <v>0.5882352941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80.0</v>
      </c>
      <c r="B18" s="3">
        <f t="shared" si="1"/>
        <v>180</v>
      </c>
      <c r="C18" s="4">
        <f t="shared" si="4"/>
        <v>2.857142857</v>
      </c>
      <c r="D18" s="4">
        <f>SUM(C2:C18)</f>
        <v>59.90417619</v>
      </c>
      <c r="E18" s="4">
        <f t="shared" si="2"/>
        <v>-20.09582381</v>
      </c>
      <c r="F18" s="5">
        <f t="shared" si="3"/>
        <v>0.5714285714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85.0</v>
      </c>
      <c r="B19" s="3">
        <f t="shared" si="1"/>
        <v>185</v>
      </c>
      <c r="C19" s="4">
        <f t="shared" si="4"/>
        <v>2.777777778</v>
      </c>
      <c r="D19" s="4">
        <f>SUM(C2:C19)</f>
        <v>62.68195397</v>
      </c>
      <c r="E19" s="4">
        <f t="shared" si="2"/>
        <v>-22.31804603</v>
      </c>
      <c r="F19" s="5">
        <f t="shared" si="3"/>
        <v>0.5555555556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90.0</v>
      </c>
      <c r="B20" s="3">
        <f t="shared" si="1"/>
        <v>190</v>
      </c>
      <c r="C20" s="4">
        <f t="shared" si="4"/>
        <v>2.702702703</v>
      </c>
      <c r="D20" s="4">
        <f>SUM(C2:C20)</f>
        <v>65.38465667</v>
      </c>
      <c r="E20" s="4">
        <f t="shared" si="2"/>
        <v>-24.61534333</v>
      </c>
      <c r="F20" s="5">
        <f t="shared" si="3"/>
        <v>0.5405405405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95.0</v>
      </c>
      <c r="B21" s="3">
        <f t="shared" si="1"/>
        <v>195</v>
      </c>
      <c r="C21" s="4">
        <f t="shared" si="4"/>
        <v>2.631578947</v>
      </c>
      <c r="D21" s="4">
        <f>SUM(C2:C21)</f>
        <v>68.01623562</v>
      </c>
      <c r="E21" s="4">
        <f t="shared" si="2"/>
        <v>-26.98376438</v>
      </c>
      <c r="F21" s="5">
        <f t="shared" si="3"/>
        <v>0.5263157895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100.0</v>
      </c>
      <c r="B22" s="3">
        <f t="shared" si="1"/>
        <v>200</v>
      </c>
      <c r="C22" s="4">
        <f t="shared" si="4"/>
        <v>2.564102564</v>
      </c>
      <c r="D22" s="4">
        <f>SUM(C2:C22)</f>
        <v>70.58033818</v>
      </c>
      <c r="E22" s="4">
        <f t="shared" si="2"/>
        <v>-29.41966182</v>
      </c>
      <c r="F22" s="5">
        <f t="shared" si="3"/>
        <v>0.5128205128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105.0</v>
      </c>
      <c r="B23" s="3">
        <f t="shared" si="1"/>
        <v>205</v>
      </c>
      <c r="C23" s="4">
        <f t="shared" si="4"/>
        <v>2.5</v>
      </c>
      <c r="D23" s="4">
        <f>SUM(C2:C23)</f>
        <v>73.08033818</v>
      </c>
      <c r="E23" s="4">
        <f t="shared" si="2"/>
        <v>-31.91966182</v>
      </c>
      <c r="F23" s="5">
        <f t="shared" si="3"/>
        <v>0.5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110.0</v>
      </c>
      <c r="B24" s="3">
        <f t="shared" si="1"/>
        <v>210</v>
      </c>
      <c r="C24" s="4">
        <f t="shared" si="4"/>
        <v>2.43902439</v>
      </c>
      <c r="D24" s="4">
        <f>SUM(C2:C24)</f>
        <v>75.51936257</v>
      </c>
      <c r="E24" s="4">
        <f t="shared" si="2"/>
        <v>-34.48063743</v>
      </c>
      <c r="F24" s="5">
        <f t="shared" si="3"/>
        <v>0.487804878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115.0</v>
      </c>
      <c r="B25" s="3">
        <f t="shared" si="1"/>
        <v>215</v>
      </c>
      <c r="C25" s="4">
        <f t="shared" si="4"/>
        <v>2.380952381</v>
      </c>
      <c r="D25" s="4">
        <f>SUM(C2:C25)</f>
        <v>77.90031495</v>
      </c>
      <c r="E25" s="4">
        <f t="shared" si="2"/>
        <v>-37.09968505</v>
      </c>
      <c r="F25" s="5">
        <f t="shared" si="3"/>
        <v>0.4761904762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120.0</v>
      </c>
      <c r="B26" s="3">
        <f t="shared" si="1"/>
        <v>220</v>
      </c>
      <c r="C26" s="4">
        <f t="shared" si="4"/>
        <v>2.325581395</v>
      </c>
      <c r="D26" s="4">
        <f>SUM(C2:C26)</f>
        <v>80.22589635</v>
      </c>
      <c r="E26" s="4">
        <f t="shared" si="2"/>
        <v>-39.77410365</v>
      </c>
      <c r="F26" s="5">
        <f t="shared" si="3"/>
        <v>0.4651162791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125.0</v>
      </c>
      <c r="B27" s="3">
        <f t="shared" si="1"/>
        <v>225</v>
      </c>
      <c r="C27" s="4">
        <f t="shared" si="4"/>
        <v>2.272727273</v>
      </c>
      <c r="D27" s="4">
        <f>SUM(C2:C27)</f>
        <v>82.49862362</v>
      </c>
      <c r="E27" s="4">
        <f t="shared" si="2"/>
        <v>-42.50137638</v>
      </c>
      <c r="F27" s="5">
        <f t="shared" si="3"/>
        <v>0.4545454545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130.0</v>
      </c>
      <c r="B28" s="3">
        <f t="shared" si="1"/>
        <v>230</v>
      </c>
      <c r="C28" s="4">
        <f t="shared" si="4"/>
        <v>2.222222222</v>
      </c>
      <c r="D28" s="4">
        <f>SUM(C2:C28)</f>
        <v>84.72084584</v>
      </c>
      <c r="E28" s="4">
        <f t="shared" si="2"/>
        <v>-45.27915416</v>
      </c>
      <c r="F28" s="5">
        <f t="shared" si="3"/>
        <v>0.4444444444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135.0</v>
      </c>
      <c r="B29" s="3">
        <f t="shared" si="1"/>
        <v>235</v>
      </c>
      <c r="C29" s="4">
        <f t="shared" si="4"/>
        <v>2.173913043</v>
      </c>
      <c r="D29" s="4">
        <f>SUM(C2:C29)</f>
        <v>86.89475888</v>
      </c>
      <c r="E29" s="4">
        <f t="shared" si="2"/>
        <v>-48.10524112</v>
      </c>
      <c r="F29" s="5">
        <f t="shared" si="3"/>
        <v>0.4347826087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140.0</v>
      </c>
      <c r="B30" s="3">
        <f t="shared" si="1"/>
        <v>240</v>
      </c>
      <c r="C30" s="4">
        <f t="shared" si="4"/>
        <v>2.127659574</v>
      </c>
      <c r="D30" s="4">
        <f>SUM(C2:C30)</f>
        <v>89.02241846</v>
      </c>
      <c r="E30" s="4">
        <f t="shared" si="2"/>
        <v>-50.97758154</v>
      </c>
      <c r="F30" s="5">
        <f t="shared" si="3"/>
        <v>0.4255319149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145.0</v>
      </c>
      <c r="B31" s="3">
        <f t="shared" si="1"/>
        <v>245</v>
      </c>
      <c r="C31" s="4">
        <f t="shared" si="4"/>
        <v>2.083333333</v>
      </c>
      <c r="D31" s="4">
        <f>SUM(C2:C31)</f>
        <v>91.10575179</v>
      </c>
      <c r="E31" s="4">
        <f t="shared" si="2"/>
        <v>-53.89424821</v>
      </c>
      <c r="F31" s="5">
        <f t="shared" si="3"/>
        <v>0.4166666667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150.0</v>
      </c>
      <c r="B32" s="3">
        <f t="shared" si="1"/>
        <v>250</v>
      </c>
      <c r="C32" s="4">
        <f t="shared" si="4"/>
        <v>2.040816327</v>
      </c>
      <c r="D32" s="4">
        <f>SUM(C2:C32)</f>
        <v>93.14656812</v>
      </c>
      <c r="E32" s="4">
        <f t="shared" si="2"/>
        <v>-56.85343188</v>
      </c>
      <c r="F32" s="5">
        <f t="shared" si="3"/>
        <v>0.4081632653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155.0</v>
      </c>
      <c r="B33" s="3">
        <f t="shared" si="1"/>
        <v>255</v>
      </c>
      <c r="C33" s="4">
        <f t="shared" si="4"/>
        <v>2</v>
      </c>
      <c r="D33" s="4">
        <f>SUM(C2:C33)</f>
        <v>95.14656812</v>
      </c>
      <c r="E33" s="4">
        <f t="shared" si="2"/>
        <v>-59.85343188</v>
      </c>
      <c r="F33" s="5">
        <f t="shared" si="3"/>
        <v>0.4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160.0</v>
      </c>
      <c r="B34" s="3">
        <f t="shared" si="1"/>
        <v>260</v>
      </c>
      <c r="C34" s="4">
        <f t="shared" si="4"/>
        <v>1.960784314</v>
      </c>
      <c r="D34" s="4">
        <f>SUM(C2:C34)</f>
        <v>97.10735243</v>
      </c>
      <c r="E34" s="4">
        <f t="shared" si="2"/>
        <v>-62.89264757</v>
      </c>
      <c r="F34" s="5">
        <f t="shared" si="3"/>
        <v>0.3921568627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165.0</v>
      </c>
      <c r="B35" s="3">
        <f t="shared" si="1"/>
        <v>265</v>
      </c>
      <c r="C35" s="4">
        <f t="shared" si="4"/>
        <v>1.923076923</v>
      </c>
      <c r="D35" s="4">
        <f>SUM(C2:C35)</f>
        <v>99.03042936</v>
      </c>
      <c r="E35" s="4">
        <f t="shared" si="2"/>
        <v>-65.96957064</v>
      </c>
      <c r="F35" s="5">
        <f t="shared" si="3"/>
        <v>0.3846153846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170.0</v>
      </c>
      <c r="B36" s="3">
        <f t="shared" si="1"/>
        <v>270</v>
      </c>
      <c r="C36" s="4">
        <f t="shared" si="4"/>
        <v>1.886792453</v>
      </c>
      <c r="D36" s="4">
        <f>SUM(C2:C36)</f>
        <v>100.9172218</v>
      </c>
      <c r="E36" s="4">
        <f t="shared" si="2"/>
        <v>-69.08277819</v>
      </c>
      <c r="F36" s="5">
        <f t="shared" si="3"/>
        <v>0.3773584906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175.0</v>
      </c>
      <c r="B37" s="3">
        <f t="shared" si="1"/>
        <v>275</v>
      </c>
      <c r="C37" s="4">
        <f t="shared" si="4"/>
        <v>1.851851852</v>
      </c>
      <c r="D37" s="4">
        <f>SUM(C2:C37)</f>
        <v>102.7690737</v>
      </c>
      <c r="E37" s="4">
        <f t="shared" si="2"/>
        <v>-72.23092634</v>
      </c>
      <c r="F37" s="5">
        <f t="shared" si="3"/>
        <v>0.3703703704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180.0</v>
      </c>
      <c r="B38" s="3">
        <f t="shared" si="1"/>
        <v>280</v>
      </c>
      <c r="C38" s="4">
        <f t="shared" si="4"/>
        <v>1.818181818</v>
      </c>
      <c r="D38" s="4">
        <f>SUM(C2:C38)</f>
        <v>104.5872555</v>
      </c>
      <c r="E38" s="4">
        <f t="shared" si="2"/>
        <v>-75.41274452</v>
      </c>
      <c r="F38" s="5">
        <f t="shared" si="3"/>
        <v>0.3636363636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185.0</v>
      </c>
      <c r="B39" s="3">
        <f t="shared" si="1"/>
        <v>285</v>
      </c>
      <c r="C39" s="4">
        <f t="shared" si="4"/>
        <v>1.785714286</v>
      </c>
      <c r="D39" s="4">
        <f>SUM(C2:C39)</f>
        <v>106.3729698</v>
      </c>
      <c r="E39" s="4">
        <f t="shared" si="2"/>
        <v>-78.62703024</v>
      </c>
      <c r="F39" s="5">
        <f t="shared" si="3"/>
        <v>0.3571428571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190.0</v>
      </c>
      <c r="B40" s="3">
        <f t="shared" si="1"/>
        <v>290</v>
      </c>
      <c r="C40" s="4">
        <f t="shared" si="4"/>
        <v>1.754385965</v>
      </c>
      <c r="D40" s="4">
        <f>SUM(C2:C40)</f>
        <v>108.1273557</v>
      </c>
      <c r="E40" s="4">
        <f t="shared" si="2"/>
        <v>-81.87264427</v>
      </c>
      <c r="F40" s="5">
        <f t="shared" si="3"/>
        <v>0.350877193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195.0</v>
      </c>
      <c r="B41" s="3">
        <f t="shared" si="1"/>
        <v>295</v>
      </c>
      <c r="C41" s="4">
        <f t="shared" si="4"/>
        <v>1.724137931</v>
      </c>
      <c r="D41" s="4">
        <f>SUM(C2:C41)</f>
        <v>109.8514937</v>
      </c>
      <c r="E41" s="4">
        <f t="shared" si="2"/>
        <v>-85.14850634</v>
      </c>
      <c r="F41" s="5">
        <f t="shared" si="3"/>
        <v>0.3448275862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200.0</v>
      </c>
      <c r="B42" s="3">
        <f t="shared" si="1"/>
        <v>300</v>
      </c>
      <c r="C42" s="4">
        <f t="shared" si="4"/>
        <v>1.694915254</v>
      </c>
      <c r="D42" s="4">
        <f>SUM(C2:C42)</f>
        <v>111.5464089</v>
      </c>
      <c r="E42" s="4">
        <f t="shared" si="2"/>
        <v>-88.45359109</v>
      </c>
      <c r="F42" s="5">
        <f t="shared" si="3"/>
        <v>0.3389830508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</sheetData>
  <drawing r:id="rId1"/>
</worksheet>
</file>