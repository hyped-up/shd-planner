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<sst xmlns="http://schemas.openxmlformats.org/spreadsheetml/2006/main" count="43" uniqueCount="35">
  <si>
    <t>name</t>
  </si>
  <si>
    <t>rpm</t>
  </si>
  <si>
    <t>mag size</t>
  </si>
  <si>
    <t xml:space="preserve">reload </t>
  </si>
  <si>
    <t>avg shot</t>
  </si>
  <si>
    <t xml:space="preserve">burst dps </t>
  </si>
  <si>
    <t>percents</t>
  </si>
  <si>
    <t>sustain dps</t>
  </si>
  <si>
    <t>Body</t>
  </si>
  <si>
    <t>Body+Crit</t>
  </si>
  <si>
    <t>HSD</t>
  </si>
  <si>
    <t>HSD+crit</t>
  </si>
  <si>
    <t>glass normal</t>
  </si>
  <si>
    <t>glass only additive</t>
  </si>
  <si>
    <t>glass only multiplicative</t>
  </si>
  <si>
    <t>d</t>
  </si>
  <si>
    <t>e</t>
  </si>
  <si>
    <t>f</t>
  </si>
  <si>
    <t>h</t>
  </si>
  <si>
    <t>i</t>
  </si>
  <si>
    <t>striker normal</t>
  </si>
  <si>
    <t>striker self multi talent</t>
  </si>
  <si>
    <t>stats</t>
  </si>
  <si>
    <t>reload</t>
  </si>
  <si>
    <t>avgshot</t>
  </si>
  <si>
    <t>base</t>
  </si>
  <si>
    <t>WD+SWD</t>
  </si>
  <si>
    <t>CHD</t>
  </si>
  <si>
    <t>CHC</t>
  </si>
  <si>
    <t>TWD</t>
  </si>
  <si>
    <t>AMP</t>
  </si>
  <si>
    <t>DTH/DTA</t>
  </si>
  <si>
    <t>DTTOOC</t>
  </si>
  <si>
    <t>calculate base:</t>
  </si>
  <si>
    <t>weapon dmg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</si>
</sst>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#,####0.0000"/>
  </numFmts>
  <fonts count="9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b/>
      <sz val="11.0"/>
      <color rgb="FFFFFFFF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rgb="FFFFFFFF"/>
      <name val="Arial"/>
      <scheme val="minor"/>
    </font>
    <font>
      <b/>
      <sz val="11.0"/>
      <color theme="1"/>
      <name val="Arial"/>
      <scheme val="minor"/>
    </font>
    <font>
      <sz val="11.0"/>
      <color rgb="FFFFFFFF"/>
      <name val="Arial"/>
    </font>
    <font>
      <sz val="11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45F06"/>
        <bgColor rgb="FFB45F06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38761D"/>
        <bgColor rgb="FF38761D"/>
      </patternFill>
    </fill>
    <fill>
      <patternFill patternType="solid">
        <fgColor rgb="FF4C1130"/>
        <bgColor rgb="FF4C1130"/>
      </patternFill>
    </fill>
    <fill>
      <patternFill patternType="solid">
        <fgColor rgb="FF660000"/>
        <bgColor rgb="FF660000"/>
      </patternFill>
    </fill>
    <fill>
      <patternFill patternType="solid">
        <fgColor rgb="FFFFD966"/>
        <bgColor rgb="FFFFD96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 readingOrder="0" vertical="bottom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1" fillId="3" fontId="1" numFmtId="0" xfId="0" applyAlignment="1" applyBorder="1" applyFill="1" applyFont="1">
      <alignment readingOrder="0" vertical="bottom"/>
    </xf>
    <xf borderId="1" fillId="4" fontId="5" numFmtId="3" xfId="0" applyAlignment="1" applyBorder="1" applyFill="1" applyFont="1" applyNumberFormat="1">
      <alignment horizontal="center" readingOrder="0" vertical="bottom"/>
    </xf>
    <xf borderId="1" fillId="4" fontId="5" numFmtId="164" xfId="0" applyAlignment="1" applyBorder="1" applyFont="1" applyNumberFormat="1">
      <alignment horizontal="center" vertical="bottom"/>
    </xf>
    <xf borderId="1" fillId="4" fontId="5" numFmtId="164" xfId="0" applyAlignment="1" applyBorder="1" applyFont="1" applyNumberFormat="1">
      <alignment horizontal="center" readingOrder="0" vertical="bottom"/>
    </xf>
    <xf borderId="1" fillId="4" fontId="5" numFmtId="3" xfId="0" applyAlignment="1" applyBorder="1" applyFont="1" applyNumberFormat="1">
      <alignment horizontal="center" vertical="bottom"/>
    </xf>
    <xf borderId="1" fillId="5" fontId="6" numFmtId="10" xfId="0" applyAlignment="1" applyBorder="1" applyFill="1" applyFont="1" applyNumberFormat="1">
      <alignment horizontal="center"/>
    </xf>
    <xf borderId="1" fillId="6" fontId="1" numFmtId="3" xfId="0" applyAlignment="1" applyBorder="1" applyFill="1" applyFont="1" applyNumberFormat="1">
      <alignment horizontal="center" vertical="bottom"/>
    </xf>
    <xf borderId="1" fillId="4" fontId="7" numFmtId="164" xfId="0" applyAlignment="1" applyBorder="1" applyFont="1" applyNumberFormat="1">
      <alignment horizontal="center" readingOrder="0" vertical="bottom"/>
    </xf>
    <xf borderId="1" fillId="7" fontId="1" numFmtId="0" xfId="0" applyAlignment="1" applyBorder="1" applyFill="1" applyFont="1">
      <alignment readingOrder="0" vertical="bottom"/>
    </xf>
    <xf borderId="1" fillId="8" fontId="1" numFmtId="0" xfId="0" applyAlignment="1" applyBorder="1" applyFill="1" applyFont="1">
      <alignment readingOrder="0" vertical="bottom"/>
    </xf>
    <xf borderId="1" fillId="4" fontId="1" numFmtId="0" xfId="0" applyAlignment="1" applyBorder="1" applyFont="1">
      <alignment readingOrder="0" vertical="bottom"/>
    </xf>
    <xf borderId="1" fillId="9" fontId="1" numFmtId="0" xfId="0" applyAlignment="1" applyBorder="1" applyFill="1" applyFont="1">
      <alignment readingOrder="0" vertical="bottom"/>
    </xf>
    <xf borderId="1" fillId="9" fontId="5" numFmtId="3" xfId="0" applyAlignment="1" applyBorder="1" applyFont="1" applyNumberFormat="1">
      <alignment horizontal="center" readingOrder="0" vertical="bottom"/>
    </xf>
    <xf borderId="1" fillId="9" fontId="5" numFmtId="164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horizontal="center"/>
    </xf>
    <xf borderId="1" fillId="10" fontId="4" numFmtId="3" xfId="0" applyAlignment="1" applyBorder="1" applyFill="1" applyFont="1" applyNumberFormat="1">
      <alignment horizontal="center" readingOrder="0"/>
    </xf>
    <xf borderId="1" fillId="10" fontId="4" numFmtId="164" xfId="0" applyAlignment="1" applyBorder="1" applyFont="1" applyNumberFormat="1">
      <alignment horizontal="center" readingOrder="0"/>
    </xf>
    <xf borderId="0" fillId="0" fontId="3" numFmtId="165" xfId="0" applyFont="1" applyNumberFormat="1"/>
    <xf borderId="0" fillId="0" fontId="3" numFmtId="3" xfId="0" applyFont="1" applyNumberFormat="1"/>
    <xf borderId="2" fillId="2" fontId="2" numFmtId="0" xfId="0" applyAlignment="1" applyBorder="1" applyFont="1">
      <alignment horizontal="center" vertical="bottom"/>
    </xf>
    <xf borderId="1" fillId="4" fontId="7" numFmtId="3" xfId="0" applyAlignment="1" applyBorder="1" applyFont="1" applyNumberFormat="1">
      <alignment horizontal="center" vertical="bottom"/>
    </xf>
    <xf borderId="1" fillId="3" fontId="7" numFmtId="4" xfId="0" applyAlignment="1" applyBorder="1" applyFont="1" applyNumberFormat="1">
      <alignment horizontal="center" readingOrder="0" vertical="bottom"/>
    </xf>
    <xf borderId="1" fillId="3" fontId="7" numFmtId="164" xfId="0" applyAlignment="1" applyBorder="1" applyFont="1" applyNumberFormat="1">
      <alignment horizontal="center" readingOrder="0" vertical="bottom"/>
    </xf>
    <xf borderId="1" fillId="3" fontId="7" numFmtId="3" xfId="0" applyAlignment="1" applyBorder="1" applyFont="1" applyNumberFormat="1">
      <alignment horizontal="center" readingOrder="0" vertical="bottom"/>
    </xf>
    <xf borderId="1" fillId="10" fontId="8" numFmtId="3" xfId="0" applyAlignment="1" applyBorder="1" applyFont="1" applyNumberFormat="1">
      <alignment horizontal="center" readingOrder="0" vertical="bottom"/>
    </xf>
    <xf borderId="0" fillId="7" fontId="7" numFmtId="4" xfId="0" applyAlignment="1" applyFont="1" applyNumberFormat="1">
      <alignment horizontal="center" readingOrder="0"/>
    </xf>
    <xf borderId="1" fillId="7" fontId="7" numFmtId="164" xfId="0" applyAlignment="1" applyBorder="1" applyFont="1" applyNumberFormat="1">
      <alignment horizontal="center" readingOrder="0" vertical="bottom"/>
    </xf>
    <xf borderId="1" fillId="7" fontId="7" numFmtId="3" xfId="0" applyAlignment="1" applyBorder="1" applyFont="1" applyNumberFormat="1">
      <alignment horizontal="center" readingOrder="0" vertical="bottom"/>
    </xf>
    <xf borderId="1" fillId="8" fontId="7" numFmtId="4" xfId="0" applyAlignment="1" applyBorder="1" applyFont="1" applyNumberFormat="1">
      <alignment horizontal="center" readingOrder="0" vertical="bottom"/>
    </xf>
    <xf borderId="1" fillId="8" fontId="7" numFmtId="164" xfId="0" applyAlignment="1" applyBorder="1" applyFont="1" applyNumberFormat="1">
      <alignment horizontal="center" readingOrder="0" vertical="bottom"/>
    </xf>
    <xf borderId="1" fillId="8" fontId="7" numFmtId="3" xfId="0" applyAlignment="1" applyBorder="1" applyFont="1" applyNumberFormat="1">
      <alignment horizontal="center" readingOrder="0" vertical="bottom"/>
    </xf>
    <xf borderId="1" fillId="10" fontId="8" numFmtId="4" xfId="0" applyAlignment="1" applyBorder="1" applyFont="1" applyNumberFormat="1">
      <alignment horizontal="center" readingOrder="0" vertical="bottom"/>
    </xf>
    <xf borderId="1" fillId="10" fontId="8" numFmtId="164" xfId="0" applyAlignment="1" applyBorder="1" applyFont="1" applyNumberFormat="1">
      <alignment horizontal="center" readingOrder="0" vertical="bottom"/>
    </xf>
    <xf borderId="1" fillId="10" fontId="8" numFmtId="164" xfId="0" applyAlignment="1" applyBorder="1" applyFont="1" applyNumberFormat="1">
      <alignment horizontal="center" vertical="bottom"/>
    </xf>
    <xf borderId="1" fillId="10" fontId="8" numFmtId="3" xfId="0" applyAlignment="1" applyBorder="1" applyFont="1" applyNumberFormat="1">
      <alignment horizontal="center" vertical="bottom"/>
    </xf>
    <xf borderId="1" fillId="9" fontId="7" numFmtId="4" xfId="0" applyAlignment="1" applyBorder="1" applyFont="1" applyNumberFormat="1">
      <alignment horizontal="center" readingOrder="0" vertical="bottom"/>
    </xf>
    <xf borderId="3" fillId="9" fontId="7" numFmtId="164" xfId="0" applyAlignment="1" applyBorder="1" applyFont="1" applyNumberFormat="1">
      <alignment horizontal="center" vertical="bottom"/>
    </xf>
    <xf borderId="3" fillId="9" fontId="7" numFmtId="164" xfId="0" applyAlignment="1" applyBorder="1" applyFont="1" applyNumberFormat="1">
      <alignment horizontal="center" readingOrder="0" vertical="bottom"/>
    </xf>
    <xf borderId="3" fillId="9" fontId="7" numFmtId="3" xfId="0" applyAlignment="1" applyBorder="1" applyFont="1" applyNumberFormat="1">
      <alignment horizontal="center" vertical="bottom"/>
    </xf>
    <xf borderId="3" fillId="9" fontId="7" numFmtId="4" xfId="0" applyAlignment="1" applyBorder="1" applyFont="1" applyNumberForma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4" fontId="7" numFmtId="4" xfId="0" applyAlignment="1" applyBorder="1" applyFont="1" applyNumberFormat="1">
      <alignment horizontal="center" readingOrder="0" vertical="bottom"/>
    </xf>
    <xf borderId="0" fillId="0" fontId="4" numFmtId="3" xfId="0" applyFont="1" applyNumberFormat="1"/>
    <xf borderId="0" fillId="0" fontId="4" numFmtId="0" xfId="0" applyFont="1"/>
    <xf borderId="0" fillId="0" fontId="4" numFmtId="2" xfId="0" applyFont="1" applyNumberFormat="1"/>
    <xf borderId="0" fillId="0" fontId="4" numFmtId="3" xfId="0" applyFont="1" applyNumberForma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28</xdr:row>
      <xdr:rowOff>0</xdr:rowOff>
    </xdr:from>
    <xdr:ext cx="5953125" cy="6191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</xdr:row>
      <xdr:rowOff>0</xdr:rowOff>
    </xdr:from>
    <xdr:ext cx="2628900" cy="42957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28</xdr:row>
      <xdr:rowOff>0</xdr:rowOff>
    </xdr:from>
    <xdr:ext cx="3562350" cy="219075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</v>
      </c>
      <c r="K1" s="2" t="s">
        <v>8</v>
      </c>
      <c r="L1" s="2" t="s">
        <v>9</v>
      </c>
      <c r="M1" s="2" t="s">
        <v>10</v>
      </c>
      <c r="N1" s="2" t="s">
        <v>11</v>
      </c>
      <c r="O1" s="3"/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12</v>
      </c>
      <c r="B2" s="7">
        <f t="shared" ref="B2:D2" si="1">B13</f>
        <v>900</v>
      </c>
      <c r="C2" s="7">
        <f t="shared" si="1"/>
        <v>50</v>
      </c>
      <c r="D2" s="8">
        <f t="shared" si="1"/>
        <v>2.2</v>
      </c>
      <c r="E2" s="9">
        <f t="shared" ref="E2:E11" si="3">A16</f>
        <v>702673.6491</v>
      </c>
      <c r="F2" s="10">
        <f t="shared" ref="F2:F11" si="4">(B2/60)*E2</f>
        <v>10540104.74</v>
      </c>
      <c r="G2" s="11">
        <f>IFERROR( F2/F2,0)</f>
        <v>1</v>
      </c>
      <c r="H2" s="12">
        <f t="shared" ref="H2:H11" si="5">IFERROR( C2*E2/(D2+C2/(B2/60)),0)</f>
        <v>6349460.684</v>
      </c>
      <c r="I2" s="11">
        <f>IFERROR( H2/H2,0)</f>
        <v>1</v>
      </c>
      <c r="K2" s="13">
        <f t="shared" ref="K2:K11" si="6">B16*(1+C16/100)*(1+G16/100)*(1+H16/100)*(1+I16/100)*(1+J16/100)*(1+K16/100)*(1+L16/100)</f>
        <v>235820.2668</v>
      </c>
      <c r="L2" s="13">
        <f t="shared" ref="L2:L11" si="7">B16*(1+C16/100)*(1+D16/100)*(1+G16/100)*(1+H16/100)*(1+I16/100)*(1+J16/100)*(1+K16/100)*(1+L16/100)</f>
        <v>667371.3551</v>
      </c>
      <c r="M2" s="13">
        <f t="shared" ref="M2:M11" si="8">B16*(1+C16/100)*(1+F16/100)*(1+G16/100)*(1+H16/100)*(1+I16/100)*(1+J16/100)*(1+K16/100)*(1+L16/100)</f>
        <v>448058.507</v>
      </c>
      <c r="N2" s="13">
        <f t="shared" ref="N2:N11" si="9">B16*(1+C16/100)*(1+D16/100+F16/100)*(1+G16/100)*(1+H16/100)*(1+I16/100)*(1+J16/100)*(1+K16/100)*(1+L16/100)</f>
        <v>879609.5953</v>
      </c>
      <c r="O2" s="3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4" t="s">
        <v>13</v>
      </c>
      <c r="B3" s="7">
        <f t="shared" ref="B3:D3" si="2">B13</f>
        <v>900</v>
      </c>
      <c r="C3" s="7">
        <f t="shared" si="2"/>
        <v>50</v>
      </c>
      <c r="D3" s="8">
        <f t="shared" si="2"/>
        <v>2.2</v>
      </c>
      <c r="E3" s="9">
        <f t="shared" si="3"/>
        <v>44204.42957</v>
      </c>
      <c r="F3" s="10">
        <f t="shared" si="4"/>
        <v>663066.4435</v>
      </c>
      <c r="G3" s="11">
        <f>IFERROR( F3/F2,0)</f>
        <v>0.06290890462</v>
      </c>
      <c r="H3" s="12">
        <f t="shared" si="5"/>
        <v>399437.6166</v>
      </c>
      <c r="I3" s="11">
        <f>IFERROR( H3/H2,0)</f>
        <v>0.06290890462</v>
      </c>
      <c r="K3" s="13">
        <f t="shared" si="6"/>
        <v>235820.2668</v>
      </c>
      <c r="L3" s="13">
        <f t="shared" si="7"/>
        <v>667371.3551</v>
      </c>
      <c r="M3" s="13">
        <f t="shared" si="8"/>
        <v>448058.507</v>
      </c>
      <c r="N3" s="13">
        <f t="shared" si="9"/>
        <v>879609.5953</v>
      </c>
      <c r="O3" s="3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5" t="s">
        <v>14</v>
      </c>
      <c r="B4" s="7">
        <f t="shared" ref="B4:D4" si="10">B13</f>
        <v>900</v>
      </c>
      <c r="C4" s="7">
        <f t="shared" si="10"/>
        <v>50</v>
      </c>
      <c r="D4" s="8">
        <f t="shared" si="10"/>
        <v>2.2</v>
      </c>
      <c r="E4" s="9">
        <f t="shared" si="3"/>
        <v>2838999952</v>
      </c>
      <c r="F4" s="10">
        <f t="shared" si="4"/>
        <v>42584999283</v>
      </c>
      <c r="G4" s="11">
        <f>IFERROR( F4/F2,0)</f>
        <v>4040.282364</v>
      </c>
      <c r="H4" s="12">
        <f t="shared" si="5"/>
        <v>25653614026</v>
      </c>
      <c r="I4" s="11">
        <f>IFERROR( H4/H2,0)</f>
        <v>4040.282364</v>
      </c>
      <c r="K4" s="13">
        <f t="shared" si="6"/>
        <v>3376766.491</v>
      </c>
      <c r="L4" s="13">
        <f t="shared" si="7"/>
        <v>3865167808</v>
      </c>
      <c r="M4" s="13">
        <f t="shared" si="8"/>
        <v>560543237.4</v>
      </c>
      <c r="N4" s="13">
        <f t="shared" si="9"/>
        <v>4422334279</v>
      </c>
      <c r="O4" s="3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6" t="s">
        <v>15</v>
      </c>
      <c r="B5" s="7">
        <f t="shared" ref="B5:D5" si="11">B13</f>
        <v>900</v>
      </c>
      <c r="C5" s="7">
        <f t="shared" si="11"/>
        <v>50</v>
      </c>
      <c r="D5" s="8">
        <f t="shared" si="11"/>
        <v>2.2</v>
      </c>
      <c r="E5" s="9">
        <f t="shared" si="3"/>
        <v>0</v>
      </c>
      <c r="F5" s="10">
        <f t="shared" si="4"/>
        <v>0</v>
      </c>
      <c r="G5" s="11">
        <f>IFERROR( F5/F2,0)</f>
        <v>0</v>
      </c>
      <c r="H5" s="12">
        <f t="shared" si="5"/>
        <v>0</v>
      </c>
      <c r="I5" s="11">
        <f>IFERROR( H5/H2,0)</f>
        <v>0</v>
      </c>
      <c r="K5" s="13">
        <f t="shared" si="6"/>
        <v>0</v>
      </c>
      <c r="L5" s="13">
        <f t="shared" si="7"/>
        <v>0</v>
      </c>
      <c r="M5" s="13">
        <f t="shared" si="8"/>
        <v>0</v>
      </c>
      <c r="N5" s="13">
        <f t="shared" si="9"/>
        <v>0</v>
      </c>
      <c r="O5" s="3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6" t="s">
        <v>16</v>
      </c>
      <c r="B6" s="7">
        <f t="shared" ref="B6:D6" si="12">B13</f>
        <v>900</v>
      </c>
      <c r="C6" s="7">
        <f t="shared" si="12"/>
        <v>50</v>
      </c>
      <c r="D6" s="8">
        <f t="shared" si="12"/>
        <v>2.2</v>
      </c>
      <c r="E6" s="9">
        <f t="shared" si="3"/>
        <v>0</v>
      </c>
      <c r="F6" s="10">
        <f t="shared" si="4"/>
        <v>0</v>
      </c>
      <c r="G6" s="11">
        <f>IFERROR( F6/F2,0)</f>
        <v>0</v>
      </c>
      <c r="H6" s="12">
        <f t="shared" si="5"/>
        <v>0</v>
      </c>
      <c r="I6" s="11">
        <f>IFERROR( H6/H2,0)</f>
        <v>0</v>
      </c>
      <c r="K6" s="13">
        <f t="shared" si="6"/>
        <v>0</v>
      </c>
      <c r="L6" s="13">
        <f t="shared" si="7"/>
        <v>0</v>
      </c>
      <c r="M6" s="13">
        <f t="shared" si="8"/>
        <v>0</v>
      </c>
      <c r="N6" s="13">
        <f t="shared" si="9"/>
        <v>0</v>
      </c>
      <c r="O6" s="3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6" t="s">
        <v>17</v>
      </c>
      <c r="B7" s="7">
        <f t="shared" ref="B7:D7" si="13">B13</f>
        <v>900</v>
      </c>
      <c r="C7" s="7">
        <f t="shared" si="13"/>
        <v>50</v>
      </c>
      <c r="D7" s="8">
        <f t="shared" si="13"/>
        <v>2.2</v>
      </c>
      <c r="E7" s="9">
        <f t="shared" si="3"/>
        <v>0</v>
      </c>
      <c r="F7" s="10">
        <f t="shared" si="4"/>
        <v>0</v>
      </c>
      <c r="G7" s="11">
        <f>IFERROR( F7/F2,0)</f>
        <v>0</v>
      </c>
      <c r="H7" s="12">
        <f t="shared" si="5"/>
        <v>0</v>
      </c>
      <c r="I7" s="11">
        <f>IFERROR( H7/H2,0)</f>
        <v>0</v>
      </c>
      <c r="K7" s="13">
        <f t="shared" si="6"/>
        <v>0</v>
      </c>
      <c r="L7" s="13">
        <f t="shared" si="7"/>
        <v>0</v>
      </c>
      <c r="M7" s="13">
        <f t="shared" si="8"/>
        <v>0</v>
      </c>
      <c r="N7" s="13">
        <f t="shared" si="9"/>
        <v>0</v>
      </c>
      <c r="O7" s="3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6" t="s">
        <v>18</v>
      </c>
      <c r="B8" s="7">
        <f t="shared" ref="B8:D8" si="14">B13</f>
        <v>900</v>
      </c>
      <c r="C8" s="7">
        <f t="shared" si="14"/>
        <v>50</v>
      </c>
      <c r="D8" s="8">
        <f t="shared" si="14"/>
        <v>2.2</v>
      </c>
      <c r="E8" s="9">
        <f t="shared" si="3"/>
        <v>0</v>
      </c>
      <c r="F8" s="10">
        <f t="shared" si="4"/>
        <v>0</v>
      </c>
      <c r="G8" s="11">
        <f>IFERROR( F8/F2,0)</f>
        <v>0</v>
      </c>
      <c r="H8" s="12">
        <f t="shared" si="5"/>
        <v>0</v>
      </c>
      <c r="I8" s="11">
        <f>IFERROR( H8/H2,0)</f>
        <v>0</v>
      </c>
      <c r="K8" s="13">
        <f t="shared" si="6"/>
        <v>0</v>
      </c>
      <c r="L8" s="13">
        <f t="shared" si="7"/>
        <v>0</v>
      </c>
      <c r="M8" s="13">
        <f t="shared" si="8"/>
        <v>0</v>
      </c>
      <c r="N8" s="13">
        <f t="shared" si="9"/>
        <v>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6" t="s">
        <v>19</v>
      </c>
      <c r="B9" s="7">
        <f t="shared" ref="B9:D9" si="15">B13</f>
        <v>900</v>
      </c>
      <c r="C9" s="7">
        <f t="shared" si="15"/>
        <v>50</v>
      </c>
      <c r="D9" s="8">
        <f t="shared" si="15"/>
        <v>2.2</v>
      </c>
      <c r="E9" s="9">
        <f t="shared" si="3"/>
        <v>0</v>
      </c>
      <c r="F9" s="10">
        <f t="shared" si="4"/>
        <v>0</v>
      </c>
      <c r="G9" s="11">
        <f>IFERROR( F9/F2,0)</f>
        <v>0</v>
      </c>
      <c r="H9" s="12">
        <f t="shared" si="5"/>
        <v>0</v>
      </c>
      <c r="I9" s="11">
        <f>IFERROR( H9/H2,0)</f>
        <v>0</v>
      </c>
      <c r="K9" s="13">
        <f t="shared" si="6"/>
        <v>0</v>
      </c>
      <c r="L9" s="13">
        <f t="shared" si="7"/>
        <v>0</v>
      </c>
      <c r="M9" s="13">
        <f t="shared" si="8"/>
        <v>0</v>
      </c>
      <c r="N9" s="13">
        <f t="shared" si="9"/>
        <v>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7" t="s">
        <v>20</v>
      </c>
      <c r="B10" s="18">
        <v>1035.0</v>
      </c>
      <c r="C10" s="18">
        <v>50.0</v>
      </c>
      <c r="D10" s="19">
        <v>1.9</v>
      </c>
      <c r="E10" s="9">
        <f t="shared" si="3"/>
        <v>742373.4472</v>
      </c>
      <c r="F10" s="10">
        <f t="shared" si="4"/>
        <v>12805941.96</v>
      </c>
      <c r="G10" s="11">
        <f>IFERROR( F10/F2,0)</f>
        <v>1.214972933</v>
      </c>
      <c r="H10" s="12">
        <f t="shared" si="5"/>
        <v>7735392.307</v>
      </c>
      <c r="I10" s="11">
        <f>IFERROR( H10/H2,0)</f>
        <v>1.218275487</v>
      </c>
      <c r="K10" s="13">
        <f t="shared" si="6"/>
        <v>279508.075</v>
      </c>
      <c r="L10" s="13">
        <f t="shared" si="7"/>
        <v>701565.2683</v>
      </c>
      <c r="M10" s="13">
        <f t="shared" si="8"/>
        <v>489139.1313</v>
      </c>
      <c r="N10" s="13">
        <f t="shared" si="9"/>
        <v>911196.3245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7" t="s">
        <v>21</v>
      </c>
      <c r="B11" s="18">
        <v>1035.0</v>
      </c>
      <c r="C11" s="18">
        <v>50.0</v>
      </c>
      <c r="D11" s="19">
        <v>1.9</v>
      </c>
      <c r="E11" s="9">
        <f t="shared" si="3"/>
        <v>1003990.983</v>
      </c>
      <c r="F11" s="10">
        <f t="shared" si="4"/>
        <v>17318844.46</v>
      </c>
      <c r="G11" s="11">
        <f>IFERROR( F11/F2,0)</f>
        <v>1.643137796</v>
      </c>
      <c r="H11" s="12">
        <f t="shared" si="5"/>
        <v>10461398.04</v>
      </c>
      <c r="I11" s="11">
        <f>IFERROR( H11/H2,0)</f>
        <v>1.647604193</v>
      </c>
      <c r="K11" s="13">
        <f t="shared" si="6"/>
        <v>378008.6533</v>
      </c>
      <c r="L11" s="13">
        <f t="shared" si="7"/>
        <v>948801.7199</v>
      </c>
      <c r="M11" s="13">
        <f t="shared" si="8"/>
        <v>661515.1434</v>
      </c>
      <c r="N11" s="13">
        <f t="shared" si="9"/>
        <v>1232308.21</v>
      </c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 t="s">
        <v>22</v>
      </c>
      <c r="B12" s="1" t="s">
        <v>1</v>
      </c>
      <c r="C12" s="1" t="s">
        <v>2</v>
      </c>
      <c r="D12" s="1" t="s">
        <v>23</v>
      </c>
      <c r="O12" s="3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0"/>
      <c r="B13" s="21">
        <v>900.0</v>
      </c>
      <c r="C13" s="21">
        <v>50.0</v>
      </c>
      <c r="D13" s="22">
        <v>2.2</v>
      </c>
      <c r="L13" s="3"/>
      <c r="O13" s="23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4"/>
      <c r="B14" s="3"/>
      <c r="H14" s="3"/>
      <c r="O14" s="23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" t="s">
        <v>24</v>
      </c>
      <c r="B15" s="25" t="s">
        <v>25</v>
      </c>
      <c r="C15" s="25" t="s">
        <v>26</v>
      </c>
      <c r="D15" s="25" t="s">
        <v>27</v>
      </c>
      <c r="E15" s="2" t="s">
        <v>28</v>
      </c>
      <c r="F15" s="2" t="s">
        <v>10</v>
      </c>
      <c r="G15" s="25" t="s">
        <v>29</v>
      </c>
      <c r="H15" s="2" t="s">
        <v>30</v>
      </c>
      <c r="I15" s="2" t="s">
        <v>31</v>
      </c>
      <c r="J15" s="25" t="s">
        <v>32</v>
      </c>
      <c r="K15" s="25" t="s">
        <v>30</v>
      </c>
      <c r="L15" s="25" t="s">
        <v>30</v>
      </c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6">
        <f>B16*(1+(C16/100))*(1+(((D16/100)*(E16/100))+(F16/100)))*(1+(G16/100))*(1+(H16/100))*(1+(I16/100))*(1+(J16/100))*(1+(K16/100))*(1+(L16/100))</f>
        <v>702673.6491</v>
      </c>
      <c r="B16" s="27">
        <f>B27</f>
        <v>44190.86957</v>
      </c>
      <c r="C16" s="28">
        <v>130.0</v>
      </c>
      <c r="D16" s="28">
        <v>183.0</v>
      </c>
      <c r="E16" s="28">
        <v>59.0</v>
      </c>
      <c r="F16" s="28">
        <v>90.0</v>
      </c>
      <c r="G16" s="28">
        <v>25.0</v>
      </c>
      <c r="H16" s="29">
        <v>30.0</v>
      </c>
      <c r="I16" s="28">
        <v>21.0</v>
      </c>
      <c r="J16" s="28">
        <v>18.0</v>
      </c>
      <c r="K16" s="30"/>
      <c r="L16" s="30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6">
        <f>B17+(1+(C17/100))+(1+(((D17/100)+(E17/100))+(F17/100)))+(1+(G17/100))+(1+(H17/100))+(1+(I17/100))+(1+(J17/100))+(1+(K17/100))+(1+(L17/100))</f>
        <v>44204.42957</v>
      </c>
      <c r="B17" s="31">
        <f>B27</f>
        <v>44190.86957</v>
      </c>
      <c r="C17" s="32">
        <v>130.0</v>
      </c>
      <c r="D17" s="32">
        <v>183.0</v>
      </c>
      <c r="E17" s="32">
        <v>59.0</v>
      </c>
      <c r="F17" s="32">
        <v>90.0</v>
      </c>
      <c r="G17" s="32">
        <v>25.0</v>
      </c>
      <c r="H17" s="33">
        <v>30.0</v>
      </c>
      <c r="I17" s="32">
        <v>21.0</v>
      </c>
      <c r="J17" s="32">
        <v>18.0</v>
      </c>
      <c r="K17" s="30"/>
      <c r="L17" s="30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6">
        <f t="shared" ref="A18:A25" si="16">B18*(1+(C18/100))*(1+(((D18/100)*(E18/100))+(F18/100)))*(1+(G18/100))*(1+(H18/100))*(1+(I18/100))*(1+(J18/100))*(1+(K18/100))*(1+(L18/100))</f>
        <v>2838999952</v>
      </c>
      <c r="B18" s="34">
        <f>B27</f>
        <v>44190.86957</v>
      </c>
      <c r="C18" s="35">
        <f>(((1.15^8)-1)*100)*(((1.1^1)-1)*100)</f>
        <v>2059.022863</v>
      </c>
      <c r="D18" s="35">
        <f>(((1.12^9)-1)*100)*(((1.15^2)-1)*100)*(((1.2^1)-1)*100)</f>
        <v>114363.5799</v>
      </c>
      <c r="E18" s="35">
        <v>59.0</v>
      </c>
      <c r="F18" s="35">
        <f>(((1.55^1)-1)*100)*(((1.2^1)-1)*100)*(((1.15^1)-1)*100)</f>
        <v>16500</v>
      </c>
      <c r="G18" s="35">
        <v>25.0</v>
      </c>
      <c r="H18" s="36">
        <v>30.0</v>
      </c>
      <c r="I18" s="35">
        <v>21.0</v>
      </c>
      <c r="J18" s="35">
        <f>(((1.1^1)-1)*100)*(((1.08^1)-1)*100)</f>
        <v>80</v>
      </c>
      <c r="K18" s="30"/>
      <c r="L18" s="30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6">
        <f t="shared" si="16"/>
        <v>0</v>
      </c>
      <c r="B19" s="37"/>
      <c r="C19" s="38"/>
      <c r="D19" s="38"/>
      <c r="E19" s="38"/>
      <c r="F19" s="38"/>
      <c r="G19" s="38"/>
      <c r="H19" s="30"/>
      <c r="I19" s="38"/>
      <c r="J19" s="38"/>
      <c r="K19" s="30"/>
      <c r="L19" s="30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6">
        <f t="shared" si="16"/>
        <v>0</v>
      </c>
      <c r="B20" s="37"/>
      <c r="C20" s="38"/>
      <c r="D20" s="38"/>
      <c r="E20" s="38"/>
      <c r="F20" s="38"/>
      <c r="G20" s="38"/>
      <c r="H20" s="30"/>
      <c r="I20" s="38"/>
      <c r="J20" s="38"/>
      <c r="K20" s="30"/>
      <c r="L20" s="30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6">
        <f t="shared" si="16"/>
        <v>0</v>
      </c>
      <c r="B21" s="37"/>
      <c r="C21" s="39"/>
      <c r="D21" s="38"/>
      <c r="E21" s="38"/>
      <c r="F21" s="39"/>
      <c r="G21" s="39"/>
      <c r="H21" s="40"/>
      <c r="I21" s="38"/>
      <c r="J21" s="39"/>
      <c r="K21" s="40"/>
      <c r="L21" s="40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6">
        <f t="shared" si="16"/>
        <v>0</v>
      </c>
      <c r="B22" s="37"/>
      <c r="C22" s="39"/>
      <c r="D22" s="38"/>
      <c r="E22" s="38"/>
      <c r="F22" s="39"/>
      <c r="G22" s="39"/>
      <c r="H22" s="40"/>
      <c r="I22" s="38"/>
      <c r="J22" s="39"/>
      <c r="K22" s="40"/>
      <c r="L22" s="40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6">
        <f t="shared" si="16"/>
        <v>0</v>
      </c>
      <c r="B23" s="37"/>
      <c r="C23" s="39"/>
      <c r="D23" s="38"/>
      <c r="E23" s="38"/>
      <c r="F23" s="38"/>
      <c r="G23" s="39"/>
      <c r="H23" s="30"/>
      <c r="I23" s="38"/>
      <c r="J23" s="39"/>
      <c r="K23" s="40"/>
      <c r="L23" s="40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6">
        <f t="shared" si="16"/>
        <v>742373.4472</v>
      </c>
      <c r="B24" s="41">
        <v>44191.0</v>
      </c>
      <c r="C24" s="42">
        <v>130.0</v>
      </c>
      <c r="D24" s="42">
        <v>151.0</v>
      </c>
      <c r="E24" s="42">
        <v>60.0</v>
      </c>
      <c r="F24" s="43">
        <v>75.0</v>
      </c>
      <c r="G24" s="42">
        <v>25.0</v>
      </c>
      <c r="H24" s="44">
        <v>100.0</v>
      </c>
      <c r="I24" s="42"/>
      <c r="J24" s="42">
        <v>10.0</v>
      </c>
      <c r="K24" s="40"/>
      <c r="L24" s="40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6">
        <f t="shared" si="16"/>
        <v>1003990.983</v>
      </c>
      <c r="B25" s="41">
        <v>44191.0</v>
      </c>
      <c r="C25" s="42">
        <v>130.0</v>
      </c>
      <c r="D25" s="42">
        <v>151.0</v>
      </c>
      <c r="E25" s="42">
        <v>60.0</v>
      </c>
      <c r="F25" s="43">
        <v>75.0</v>
      </c>
      <c r="G25" s="42">
        <v>25.0</v>
      </c>
      <c r="H25" s="45">
        <f>(((1.01^100)-1)*100)</f>
        <v>170.4813829</v>
      </c>
      <c r="I25" s="42"/>
      <c r="J25" s="42">
        <v>10.0</v>
      </c>
      <c r="K25" s="40"/>
      <c r="L25" s="40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" t="s">
        <v>33</v>
      </c>
      <c r="B26" s="46" t="s">
        <v>25</v>
      </c>
      <c r="C26" s="47" t="s">
        <v>34</v>
      </c>
      <c r="D26" s="46" t="s">
        <v>26</v>
      </c>
      <c r="J26" s="3"/>
      <c r="M26" s="3"/>
      <c r="P26" s="3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B27" s="48">
        <f>C27/(1+(D27/100))</f>
        <v>44190.86957</v>
      </c>
      <c r="C27" s="30">
        <v>101639.0</v>
      </c>
      <c r="D27" s="38">
        <v>130.0</v>
      </c>
      <c r="E27" s="3"/>
      <c r="G27" s="3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J28" s="3"/>
      <c r="M28" s="3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B29" s="3"/>
      <c r="C29" s="3"/>
      <c r="D29" s="3"/>
      <c r="E29" s="3"/>
      <c r="G29" s="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L31" s="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L33" s="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L35" s="3"/>
      <c r="N35" s="5"/>
      <c r="O35" s="49"/>
      <c r="P35" s="50"/>
      <c r="Q35" s="51"/>
      <c r="R35" s="49"/>
      <c r="S35" s="52"/>
      <c r="T35" s="52"/>
      <c r="U35" s="5"/>
      <c r="V35" s="5"/>
      <c r="W35" s="5"/>
      <c r="X35" s="5"/>
      <c r="Y35" s="5"/>
      <c r="Z35" s="5"/>
    </row>
    <row r="36"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M54" s="53"/>
      <c r="N54" s="53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M57" s="5"/>
      <c r="N57" s="5"/>
      <c r="O57" s="4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3"/>
      <c r="I59" s="53"/>
      <c r="J59" s="53"/>
      <c r="K59" s="5"/>
      <c r="L59" s="53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3"/>
      <c r="I60" s="53"/>
      <c r="J60" s="53"/>
      <c r="K60" s="5"/>
      <c r="L60" s="53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